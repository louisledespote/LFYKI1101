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raphael_defroyennes_uclouvain_be/Documents/Assistanat/Cours/FYKI1101/"/>
    </mc:Choice>
  </mc:AlternateContent>
  <xr:revisionPtr revIDLastSave="13" documentId="8_{B40E6636-B49A-40E6-B970-84F688B3C5CB}" xr6:coauthVersionLast="47" xr6:coauthVersionMax="47" xr10:uidLastSave="{4D5048EC-3CBD-41D5-96C1-49FDB4469ABF}"/>
  <bookViews>
    <workbookView xWindow="-108" yWindow="-108" windowWidth="23256" windowHeight="12456" activeTab="1" xr2:uid="{6F1F2AD5-F3DF-47FB-8B76-CF2AC3836FF1}"/>
  </bookViews>
  <sheets>
    <sheet name="Absorptivité molaire" sheetId="2" r:id="rId1"/>
    <sheet name="Résulta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</calcChain>
</file>

<file path=xl/sharedStrings.xml><?xml version="1.0" encoding="utf-8"?>
<sst xmlns="http://schemas.openxmlformats.org/spreadsheetml/2006/main" count="16" uniqueCount="11">
  <si>
    <t>[fluo] (µM)</t>
  </si>
  <si>
    <t>Absorptivité molaire (ε) :</t>
  </si>
  <si>
    <t>1/Mcm</t>
  </si>
  <si>
    <t>1/µMcm</t>
  </si>
  <si>
    <t>Absorbance pendant l'adsoprtion</t>
  </si>
  <si>
    <t>Absorbance eau initiale</t>
  </si>
  <si>
    <t>GROUPE 4 et 5</t>
  </si>
  <si>
    <t>Temps</t>
  </si>
  <si>
    <t>Après alumine</t>
  </si>
  <si>
    <t>Après charbon actif</t>
  </si>
  <si>
    <t>GROUPE 1, 2 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</si>
</sst>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021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Absorbance en fonction de la concetration de fluoreiscine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'Absorptivité molaire'!$A$2:$A$5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xVal>
          <c:yVal>
            <c:numRef>
              <c:f>'Absorptivité molaire'!$B$2:$B$5</c:f>
              <c:numCache>
                <c:formatCode>General</c:formatCode>
                <c:ptCount val="4"/>
                <c:pt idx="0">
                  <c:v>3.0000000000000001E-3</c:v>
                </c:pt>
                <c:pt idx="1">
                  <c:v>1.7000000000000001E-2</c:v>
                </c:pt>
                <c:pt idx="2">
                  <c:v>3.5000000000000003E-2</c:v>
                </c:pt>
                <c:pt idx="3">
                  <c:v>5.0999999999999997E-2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6-48FC-9121-9AF3936E4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155615"/>
        <c:axId val="1960156575"/>
      </c:scatterChart>
      <c:valAx>
        <c:axId val="196015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0156575"/>
        <c:crosses val="autoZero"/>
        <c:crossBetween val="midCat"/>
      </c:valAx>
      <c:valAx>
        <c:axId val="196015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015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0</xdr:row>
      <xdr:rowOff>118110</xdr:rowOff>
    </xdr:from>
    <xdr:to>
      <xdr:col>8</xdr:col>
      <xdr:colOff>701040</xdr:colOff>
      <xdr:row>13</xdr:row>
      <xdr:rowOff>15240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1381674-A138-4272-8CA5-258AF3624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3E0C-EBCB-4937-927D-F629A50ACD92}">
  <sheetPr codeName="Feuil5"/>
  <dimension ref="A1:C8"/>
  <sheetViews>
    <sheetView workbookViewId="0">
      <selection activeCell="E19" sqref="E19"/>
    </sheetView>
  </sheetViews>
  <sheetFormatPr baseColWidth="10" defaultRowHeight="14.4" x14ac:dyDescent="0.3"/>
  <cols>
    <col min="1" max="1" width="19.6640625" bestFit="1" customWidth="1"/>
  </cols>
  <sheetData>
    <row r="1" spans="1:3" x14ac:dyDescent="0.3">
      <c r="A1" t="s">
        <v>0</v>
      </c>
    </row>
    <row r="2" spans="1:3" x14ac:dyDescent="0.3">
      <c r="A2">
        <v>1</v>
      </c>
      <c r="B2">
        <v>3.0000000000000001E-3</v>
      </c>
    </row>
    <row r="3" spans="1:3" x14ac:dyDescent="0.3">
      <c r="A3">
        <v>5</v>
      </c>
      <c r="B3">
        <v>1.7000000000000001E-2</v>
      </c>
    </row>
    <row r="4" spans="1:3" x14ac:dyDescent="0.3">
      <c r="A4">
        <v>10</v>
      </c>
      <c r="B4">
        <v>3.5000000000000003E-2</v>
      </c>
    </row>
    <row r="5" spans="1:3" x14ac:dyDescent="0.3">
      <c r="A5">
        <v>15</v>
      </c>
      <c r="B5">
        <v>5.0999999999999997E-2</v>
      </c>
    </row>
    <row r="7" spans="1:3" x14ac:dyDescent="0.3">
      <c r="A7" s="1" t="s">
        <v>1</v>
      </c>
      <c r="B7">
        <f>B5/(A5*10^(-6))</f>
        <v>3400</v>
      </c>
      <c r="C7" t="s">
        <v>2</v>
      </c>
    </row>
    <row r="8" spans="1:3" x14ac:dyDescent="0.3">
      <c r="B8">
        <f>B5/A5</f>
        <v>3.3999999999999998E-3</v>
      </c>
      <c r="C8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7422-CA4B-4526-80F8-FDFF347D2080}">
  <sheetPr codeName="Feuil3"/>
  <dimension ref="A1:G18"/>
  <sheetViews>
    <sheetView tabSelected="1" workbookViewId="0">
      <selection activeCell="J11" sqref="J11"/>
    </sheetView>
  </sheetViews>
  <sheetFormatPr baseColWidth="10" defaultRowHeight="14.4" x14ac:dyDescent="0.3"/>
  <cols>
    <col min="4" max="4" width="19.77734375" bestFit="1" customWidth="1"/>
    <col min="5" max="5" width="12.44140625" bestFit="1" customWidth="1"/>
    <col min="7" max="7" width="16.6640625" bestFit="1" customWidth="1"/>
  </cols>
  <sheetData>
    <row r="1" spans="1:7" x14ac:dyDescent="0.3">
      <c r="A1" t="s">
        <v>4</v>
      </c>
    </row>
    <row r="2" spans="1:7" x14ac:dyDescent="0.3">
      <c r="D2" t="s">
        <v>5</v>
      </c>
      <c r="E2">
        <v>0.247</v>
      </c>
    </row>
    <row r="3" spans="1:7" x14ac:dyDescent="0.3">
      <c r="D3" s="3" t="s">
        <v>6</v>
      </c>
      <c r="E3" s="3"/>
      <c r="F3" s="3"/>
      <c r="G3" s="3"/>
    </row>
    <row r="4" spans="1:7" x14ac:dyDescent="0.3">
      <c r="D4" t="s">
        <v>7</v>
      </c>
      <c r="E4" t="s">
        <v>8</v>
      </c>
      <c r="F4" t="s">
        <v>7</v>
      </c>
      <c r="G4" t="s">
        <v>9</v>
      </c>
    </row>
    <row r="5" spans="1:7" x14ac:dyDescent="0.3">
      <c r="D5">
        <v>11</v>
      </c>
      <c r="E5">
        <v>0.36099999999999999</v>
      </c>
      <c r="F5">
        <v>11</v>
      </c>
      <c r="G5">
        <v>4.5999999999999999E-2</v>
      </c>
    </row>
    <row r="6" spans="1:7" x14ac:dyDescent="0.3">
      <c r="D6">
        <v>13</v>
      </c>
      <c r="E6">
        <v>0.35499999999999998</v>
      </c>
      <c r="F6">
        <v>13</v>
      </c>
      <c r="G6">
        <v>2.3E-2</v>
      </c>
    </row>
    <row r="7" spans="1:7" x14ac:dyDescent="0.3">
      <c r="D7">
        <v>17</v>
      </c>
      <c r="E7">
        <v>0.36</v>
      </c>
      <c r="F7">
        <v>17</v>
      </c>
      <c r="G7">
        <v>8.9999999999999993E-3</v>
      </c>
    </row>
    <row r="8" spans="1:7" x14ac:dyDescent="0.3">
      <c r="D8">
        <v>19</v>
      </c>
      <c r="E8">
        <v>0.37</v>
      </c>
      <c r="F8">
        <v>19</v>
      </c>
      <c r="G8">
        <v>5.0000000000000001E-3</v>
      </c>
    </row>
    <row r="9" spans="1:7" x14ac:dyDescent="0.3">
      <c r="D9" s="3" t="s">
        <v>10</v>
      </c>
      <c r="E9" s="3"/>
      <c r="F9" s="3"/>
      <c r="G9" s="3"/>
    </row>
    <row r="10" spans="1:7" x14ac:dyDescent="0.3">
      <c r="D10" t="s">
        <v>7</v>
      </c>
      <c r="E10" t="s">
        <v>8</v>
      </c>
      <c r="F10" t="s">
        <v>7</v>
      </c>
      <c r="G10" t="s">
        <v>9</v>
      </c>
    </row>
    <row r="11" spans="1:7" x14ac:dyDescent="0.3">
      <c r="D11" s="2">
        <v>0.15277777777777779</v>
      </c>
      <c r="E11">
        <v>0.498</v>
      </c>
      <c r="F11" s="2">
        <v>0.1388888888888889</v>
      </c>
      <c r="G11">
        <v>6.0000000000000001E-3</v>
      </c>
    </row>
    <row r="12" spans="1:7" x14ac:dyDescent="0.3">
      <c r="D12" s="2">
        <v>0.23958333333333334</v>
      </c>
      <c r="E12">
        <v>0.49399999999999999</v>
      </c>
      <c r="F12" s="2">
        <v>0.22222222222222221</v>
      </c>
      <c r="G12">
        <v>1.6E-2</v>
      </c>
    </row>
    <row r="13" spans="1:7" x14ac:dyDescent="0.3">
      <c r="D13" s="2">
        <v>0.3263888888888889</v>
      </c>
      <c r="E13">
        <v>0.45400000000000001</v>
      </c>
      <c r="F13" s="2">
        <v>0.30902777777777779</v>
      </c>
      <c r="G13">
        <v>2.1999999999999999E-2</v>
      </c>
    </row>
    <row r="14" spans="1:7" x14ac:dyDescent="0.3">
      <c r="D14" s="2">
        <v>0.40277777777777779</v>
      </c>
      <c r="E14">
        <v>0.42199999999999999</v>
      </c>
      <c r="F14" s="2">
        <v>0.39097222222222222</v>
      </c>
      <c r="G14">
        <v>1.9E-2</v>
      </c>
    </row>
    <row r="15" spans="1:7" x14ac:dyDescent="0.3">
      <c r="D15" s="2">
        <v>0.5</v>
      </c>
      <c r="E15">
        <v>0.44600000000000001</v>
      </c>
      <c r="F15" s="2">
        <v>0.47361111111111109</v>
      </c>
      <c r="G15">
        <v>2.9000000000000001E-2</v>
      </c>
    </row>
    <row r="16" spans="1:7" x14ac:dyDescent="0.3">
      <c r="D16" s="2">
        <v>0.58402777777777781</v>
      </c>
      <c r="E16">
        <v>0.443</v>
      </c>
      <c r="F16" s="2">
        <v>0.55694444444444446</v>
      </c>
      <c r="G16">
        <v>1.4E-2</v>
      </c>
    </row>
    <row r="17" spans="4:7" x14ac:dyDescent="0.3">
      <c r="D17" s="2">
        <v>0.66319444444444442</v>
      </c>
      <c r="E17">
        <v>0.43099999999999999</v>
      </c>
      <c r="F17" s="2">
        <v>0.6430555555555556</v>
      </c>
      <c r="G17">
        <v>1.4E-2</v>
      </c>
    </row>
    <row r="18" spans="4:7" x14ac:dyDescent="0.3">
      <c r="D18" s="2">
        <v>0.72083333333333333</v>
      </c>
      <c r="E18">
        <v>0.438</v>
      </c>
      <c r="F18" s="2">
        <v>0.70833333333333337</v>
      </c>
      <c r="G18">
        <v>1.2999999999999999E-2</v>
      </c>
    </row>
  </sheetData>
  <mergeCells count="2">
    <mergeCell ref="D3:G3"/>
    <mergeCell ref="D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Absorptivité molaire</vt:lpstr>
      <vt:lpstr>Résultat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Defroyennes</dc:creator>
  <cp:lastModifiedBy>Raphaël Defroyennes</cp:lastModifiedBy>
  <dcterms:created xsi:type="dcterms:W3CDTF">2026-03-27T14:43:38Z</dcterms:created>
  <dcterms:modified xsi:type="dcterms:W3CDTF">2026-03-31T10:05:21Z</dcterms:modified>
</cp:coreProperties>
</file>